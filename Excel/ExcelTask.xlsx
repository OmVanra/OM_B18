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727ad24c82bbf5c/Desktop/"/>
    </mc:Choice>
  </mc:AlternateContent>
  <xr:revisionPtr revIDLastSave="2" documentId="11_55BC8B0D94A6FB4B5A6A67AA670A35A9FC71A570" xr6:coauthVersionLast="47" xr6:coauthVersionMax="47" xr10:uidLastSave="{5D385869-7B96-4383-8445-E4602872A851}"/>
  <bookViews>
    <workbookView xWindow="-108" yWindow="-108" windowWidth="23256" windowHeight="13896" activeTab="3" xr2:uid="{00000000-000D-0000-FFFF-FFFF00000000}"/>
  </bookViews>
  <sheets>
    <sheet name="Task 1 - Employee" sheetId="1" r:id="rId1"/>
    <sheet name="Task 2 - Sales Report" sheetId="2" r:id="rId2"/>
    <sheet name="Task 3 - Student Marks" sheetId="3" r:id="rId3"/>
    <sheet name="Task 4 - Sales Summary" sheetId="4" r:id="rId4"/>
    <sheet name="Task 5 - Dept Analysis" sheetId="5" r:id="rId5"/>
    <sheet name="Task 6 - Attendance" sheetId="6" r:id="rId6"/>
    <sheet name="Task 7 - Sales Count" sheetId="7" r:id="rId7"/>
    <sheet name="Task 8 - CF Sales" sheetId="8" r:id="rId8"/>
    <sheet name="Task 9 - CF Marks" sheetId="9" r:id="rId9"/>
    <sheet name="Task 10 - CF Sal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9" i="7"/>
  <c r="H5" i="6"/>
  <c r="G5" i="6"/>
  <c r="H4" i="6"/>
  <c r="G4" i="6"/>
  <c r="H3" i="6"/>
  <c r="G3" i="6"/>
  <c r="H2" i="6"/>
  <c r="G2" i="6"/>
  <c r="D12" i="5"/>
  <c r="C12" i="5"/>
  <c r="B12" i="5"/>
  <c r="D11" i="5"/>
  <c r="C11" i="5"/>
  <c r="B11" i="5"/>
  <c r="D10" i="5"/>
  <c r="C10" i="5"/>
  <c r="B10" i="5"/>
  <c r="C11" i="4"/>
  <c r="C10" i="4"/>
  <c r="C9" i="4"/>
  <c r="C8" i="4"/>
  <c r="F6" i="3"/>
  <c r="F5" i="3"/>
  <c r="F4" i="3"/>
  <c r="F3" i="3"/>
  <c r="F2" i="3"/>
</calcChain>
</file>

<file path=xl/sharedStrings.xml><?xml version="1.0" encoding="utf-8"?>
<sst xmlns="http://schemas.openxmlformats.org/spreadsheetml/2006/main" count="156" uniqueCount="112">
  <si>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</si>
  <si>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</si>
  <si>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</si>
  <si>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</si>
  <si>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</si>
  <si>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</si>
  <si>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</si>
  <si>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</si>
  <si>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12-01-2022</t>
  </si>
  <si>
    <t>E102</t>
  </si>
  <si>
    <t>Neha Verma</t>
  </si>
  <si>
    <t>IT</t>
  </si>
  <si>
    <t>05-03-2021</t>
  </si>
  <si>
    <t>E103</t>
  </si>
  <si>
    <t>Rahul Mehta</t>
  </si>
  <si>
    <t>Finance</t>
  </si>
  <si>
    <t>18-07-2020</t>
  </si>
  <si>
    <t>E104</t>
  </si>
  <si>
    <t>Pooja Singh</t>
  </si>
  <si>
    <t>10-11-2019</t>
  </si>
  <si>
    <t>E105</t>
  </si>
  <si>
    <t>Ankit Patel</t>
  </si>
  <si>
    <t>Sales</t>
  </si>
  <si>
    <t>25-06-2023</t>
  </si>
  <si>
    <t>Monthly Sales Report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</si>
  <si>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</si>
  <si>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</si>
  <si>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</si>
  <si>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</si>
  <si>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</si>
  <si>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</si>
  <si>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</si>
  <si>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</si>
  <si>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</si>
  <si>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</si>
  <si>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</si>
  <si>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</si>
  <si>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</si>
  <si>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</si>
  <si>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</si>
  <si>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</si>
  <si>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</si>
  <si>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</si>
  <si>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</si>
  <si>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</si>
  <si>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</si>
  <si>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</si>
  <si>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</si>
  <si>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</si>
  <si>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</si>
  <si>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</si>
  <si>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</si>
  <si>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</si>
  <si>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</si>
  <si>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</si>
  <si>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01-01-2024</t>
  </si>
  <si>
    <t>INV002</t>
  </si>
  <si>
    <t>03-01-2024</t>
  </si>
  <si>
    <t>INV003</t>
  </si>
  <si>
    <t>05-01-2024</t>
  </si>
  <si>
    <t>INV004</t>
  </si>
  <si>
    <t>08-01-2024</t>
  </si>
  <si>
    <t>INV005</t>
  </si>
  <si>
    <t>10-01-2024</t>
  </si>
  <si>
    <t>Total Sales</t>
  </si>
  <si>
    <t>Average Sales</t>
  </si>
  <si>
    <t>Highest Sale</t>
  </si>
  <si>
    <t>Lowest Sale</t>
  </si>
  <si>
    <t>Employee Name</t>
  </si>
  <si>
    <t>Suresh</t>
  </si>
  <si>
    <t>Meena</t>
  </si>
  <si>
    <t>Karan</t>
  </si>
  <si>
    <t>Ritu</t>
  </si>
  <si>
    <t>Aman</t>
  </si>
  <si>
    <t>Neel</t>
  </si>
  <si>
    <t>Total Salary</t>
  </si>
  <si>
    <t>Avg Salary</t>
  </si>
  <si>
    <t>Count</t>
  </si>
  <si>
    <t>Day 1</t>
  </si>
  <si>
    <t>Day 2</t>
  </si>
  <si>
    <t>Day 3</t>
  </si>
  <si>
    <t>Day 4</t>
  </si>
  <si>
    <t>Day 5</t>
  </si>
  <si>
    <t>Present Days</t>
  </si>
  <si>
    <t>Absent Days</t>
  </si>
  <si>
    <t>P</t>
  </si>
  <si>
    <t>A</t>
  </si>
  <si>
    <t>Order ID</t>
  </si>
  <si>
    <t>O101</t>
  </si>
  <si>
    <t>O102</t>
  </si>
  <si>
    <t>O103</t>
  </si>
  <si>
    <t>O104</t>
  </si>
  <si>
    <t>O105</t>
  </si>
  <si>
    <t>O106</t>
  </si>
  <si>
    <t>Sales &gt; 10000</t>
  </si>
  <si>
    <t>Sales &lt; 5000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</si>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</sst>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#,##0.00"/>
    <numFmt numFmtId="165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center" wrapText="1"/>
    </xf>
    <xf numFmtId="10" fontId="0" fillId="0" borderId="1" xfId="0" applyNumberFormat="1" applyBorder="1"/>
    <xf numFmtId="0" fontId="3" fillId="0" borderId="0" xfId="0" applyFont="1"/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4" x14ac:dyDescent="0.3"/>
  <cols>
    <col min="1" max="2" width="13" customWidth="1"/>
    <col min="3" max="3" width="12" customWidth="1"/>
    <col min="4" max="4" width="10.5546875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3">
        <v>32000</v>
      </c>
      <c r="E2" s="4" t="s">
        <v>8</v>
      </c>
    </row>
    <row r="3" spans="1:5" x14ac:dyDescent="0.3">
      <c r="A3" s="2" t="s">
        <v>9</v>
      </c>
      <c r="B3" s="2" t="s">
        <v>10</v>
      </c>
      <c r="C3" s="2" t="s">
        <v>11</v>
      </c>
      <c r="D3" s="3">
        <v>45000</v>
      </c>
      <c r="E3" s="4" t="s">
        <v>12</v>
      </c>
    </row>
    <row r="4" spans="1:5" x14ac:dyDescent="0.3">
      <c r="A4" s="2" t="s">
        <v>13</v>
      </c>
      <c r="B4" s="2" t="s">
        <v>14</v>
      </c>
      <c r="C4" s="2" t="s">
        <v>15</v>
      </c>
      <c r="D4" s="3">
        <v>38000</v>
      </c>
      <c r="E4" s="4" t="s">
        <v>16</v>
      </c>
    </row>
    <row r="5" spans="1:5" x14ac:dyDescent="0.3">
      <c r="A5" s="2" t="s">
        <v>17</v>
      </c>
      <c r="B5" s="2" t="s">
        <v>18</v>
      </c>
      <c r="C5" s="2" t="s">
        <v>11</v>
      </c>
      <c r="D5" s="3">
        <v>52000</v>
      </c>
      <c r="E5" s="4" t="s">
        <v>19</v>
      </c>
    </row>
    <row r="6" spans="1:5" x14ac:dyDescent="0.3">
      <c r="A6" s="2" t="s">
        <v>20</v>
      </c>
      <c r="B6" s="2" t="s">
        <v>21</v>
      </c>
      <c r="C6" s="2" t="s">
        <v>22</v>
      </c>
      <c r="D6" s="3">
        <v>30000</v>
      </c>
      <c r="E6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D1"/>
    </sheetView>
  </sheetViews>
  <sheetFormatPr defaultRowHeight="14.4" x14ac:dyDescent="0.3"/>
  <cols>
    <col min="1" max="1" width="25" customWidth="1"/>
    <col min="2" max="2" width="15" customWidth="1"/>
    <col min="3" max="3" width="20" customWidth="1"/>
    <col min="4" max="4" width="15" customWidth="1"/>
  </cols>
  <sheetData>
    <row r="1" spans="1:4" ht="18" x14ac:dyDescent="0.3">
      <c r="A1" s="9" t="s">
        <v>24</v>
      </c>
      <c r="B1" s="10"/>
      <c r="C1" s="10"/>
      <c r="D1" s="10"/>
    </row>
    <row r="2" spans="1:4" x14ac:dyDescent="0.3">
      <c r="A2" s="1" t="s">
        <v>25</v>
      </c>
      <c r="B2" s="1" t="s">
        <v>26</v>
      </c>
      <c r="C2" s="1" t="s">
        <v>27</v>
      </c>
      <c r="D2" s="1" t="s">
        <v>28</v>
      </c>
    </row>
    <row r="3" spans="1:4" x14ac:dyDescent="0.3">
      <c r="A3" s="5" t="s">
        <v>29</v>
      </c>
      <c r="B3" s="2" t="s">
        <v>30</v>
      </c>
      <c r="C3" s="3">
        <v>45000</v>
      </c>
      <c r="D3" s="2" t="s">
        <v>31</v>
      </c>
    </row>
    <row r="4" spans="1:4" x14ac:dyDescent="0.3">
      <c r="A4" s="5" t="s">
        <v>32</v>
      </c>
      <c r="B4" s="2" t="s">
        <v>33</v>
      </c>
      <c r="C4" s="3">
        <v>1200</v>
      </c>
      <c r="D4" s="2" t="s">
        <v>34</v>
      </c>
    </row>
    <row r="5" spans="1:4" x14ac:dyDescent="0.3">
      <c r="A5" s="5" t="s">
        <v>35</v>
      </c>
      <c r="B5" s="2" t="s">
        <v>36</v>
      </c>
      <c r="C5" s="3">
        <v>18000</v>
      </c>
      <c r="D5" s="2" t="s">
        <v>37</v>
      </c>
    </row>
    <row r="6" spans="1:4" x14ac:dyDescent="0.3">
      <c r="A6" s="5" t="s">
        <v>38</v>
      </c>
      <c r="B6" s="2" t="s">
        <v>39</v>
      </c>
      <c r="C6" s="3">
        <v>62000</v>
      </c>
      <c r="D6" s="2" t="s">
        <v>40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cols>
    <col min="1" max="1" width="9" customWidth="1"/>
    <col min="2" max="2" width="14" customWidth="1"/>
    <col min="3" max="3" width="7" customWidth="1"/>
    <col min="4" max="5" width="9" customWidth="1"/>
    <col min="6" max="6" width="17" customWidth="1"/>
  </cols>
  <sheetData>
    <row r="1" spans="1:6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3">
      <c r="A2" s="2">
        <v>1</v>
      </c>
      <c r="B2" s="2" t="s">
        <v>47</v>
      </c>
      <c r="C2" s="2">
        <v>78</v>
      </c>
      <c r="D2" s="2">
        <v>82</v>
      </c>
      <c r="E2" s="2">
        <v>74</v>
      </c>
      <c r="F2" s="6">
        <f>(C2+D2+E2)/300</f>
        <v>0.78</v>
      </c>
    </row>
    <row r="3" spans="1:6" x14ac:dyDescent="0.3">
      <c r="A3" s="2">
        <v>2</v>
      </c>
      <c r="B3" s="2" t="s">
        <v>48</v>
      </c>
      <c r="C3" s="2">
        <v>65</v>
      </c>
      <c r="D3" s="2">
        <v>70</v>
      </c>
      <c r="E3" s="2">
        <v>68</v>
      </c>
      <c r="F3" s="6">
        <f>(C3+D3+E3)/300</f>
        <v>0.67666666666666664</v>
      </c>
    </row>
    <row r="4" spans="1:6" x14ac:dyDescent="0.3">
      <c r="A4" s="2">
        <v>3</v>
      </c>
      <c r="B4" s="2" t="s">
        <v>49</v>
      </c>
      <c r="C4" s="2">
        <v>90</v>
      </c>
      <c r="D4" s="2">
        <v>88</v>
      </c>
      <c r="E4" s="2">
        <v>92</v>
      </c>
      <c r="F4" s="6">
        <f>(C4+D4+E4)/300</f>
        <v>0.9</v>
      </c>
    </row>
    <row r="5" spans="1:6" x14ac:dyDescent="0.3">
      <c r="A5" s="2">
        <v>4</v>
      </c>
      <c r="B5" s="2" t="s">
        <v>50</v>
      </c>
      <c r="C5" s="2">
        <v>35</v>
      </c>
      <c r="D5" s="2">
        <v>40</v>
      </c>
      <c r="E5" s="2">
        <v>38</v>
      </c>
      <c r="F5" s="6">
        <f>(C5+D5+E5)/300</f>
        <v>0.37666666666666665</v>
      </c>
    </row>
    <row r="6" spans="1:6" x14ac:dyDescent="0.3">
      <c r="A6" s="2">
        <v>5</v>
      </c>
      <c r="B6" s="2" t="s">
        <v>51</v>
      </c>
      <c r="C6" s="2">
        <v>55</v>
      </c>
      <c r="D6" s="2">
        <v>60</v>
      </c>
      <c r="E6" s="2">
        <v>58</v>
      </c>
      <c r="F6" s="6">
        <f>(C6+D6+E6)/300</f>
        <v>0.57666666666666666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tabSelected="1" workbookViewId="0"/>
  </sheetViews>
  <sheetFormatPr defaultRowHeight="14.4" x14ac:dyDescent="0.3"/>
  <cols>
    <col min="1" max="1" width="12" customWidth="1"/>
    <col min="2" max="2" width="15" customWidth="1"/>
    <col min="3" max="3" width="17" customWidth="1"/>
  </cols>
  <sheetData>
    <row r="1" spans="1:3" x14ac:dyDescent="0.3">
      <c r="A1" s="1" t="s">
        <v>52</v>
      </c>
      <c r="B1" s="1" t="s">
        <v>53</v>
      </c>
      <c r="C1" s="1" t="s">
        <v>27</v>
      </c>
    </row>
    <row r="2" spans="1:3" x14ac:dyDescent="0.3">
      <c r="A2" s="2" t="s">
        <v>54</v>
      </c>
      <c r="B2" s="2" t="s">
        <v>55</v>
      </c>
      <c r="C2" s="2">
        <v>12000</v>
      </c>
    </row>
    <row r="3" spans="1:3" x14ac:dyDescent="0.3">
      <c r="A3" s="2" t="s">
        <v>56</v>
      </c>
      <c r="B3" s="2" t="s">
        <v>57</v>
      </c>
      <c r="C3" s="2">
        <v>25000</v>
      </c>
    </row>
    <row r="4" spans="1:3" x14ac:dyDescent="0.3">
      <c r="A4" s="2" t="s">
        <v>58</v>
      </c>
      <c r="B4" s="2" t="s">
        <v>59</v>
      </c>
      <c r="C4" s="2">
        <v>8000</v>
      </c>
    </row>
    <row r="5" spans="1:3" x14ac:dyDescent="0.3">
      <c r="A5" s="2" t="s">
        <v>60</v>
      </c>
      <c r="B5" s="2" t="s">
        <v>61</v>
      </c>
      <c r="C5" s="2">
        <v>32000</v>
      </c>
    </row>
    <row r="6" spans="1:3" x14ac:dyDescent="0.3">
      <c r="A6" s="2" t="s">
        <v>62</v>
      </c>
      <c r="B6" s="2" t="s">
        <v>63</v>
      </c>
      <c r="C6" s="2">
        <v>15000</v>
      </c>
    </row>
    <row r="8" spans="1:3" x14ac:dyDescent="0.3">
      <c r="B8" s="7" t="s">
        <v>64</v>
      </c>
      <c r="C8" s="8">
        <f>SUM(C2:C6)</f>
        <v>92000</v>
      </c>
    </row>
    <row r="9" spans="1:3" x14ac:dyDescent="0.3">
      <c r="B9" s="7" t="s">
        <v>65</v>
      </c>
      <c r="C9" s="8">
        <f>AVERAGE(C2:C6)</f>
        <v>18400</v>
      </c>
    </row>
    <row r="10" spans="1:3" x14ac:dyDescent="0.3">
      <c r="B10" s="7" t="s">
        <v>66</v>
      </c>
      <c r="C10" s="8">
        <f>MAX(C2:C6)</f>
        <v>32000</v>
      </c>
    </row>
    <row r="11" spans="1:3" x14ac:dyDescent="0.3">
      <c r="B11" s="7" t="s">
        <v>67</v>
      </c>
      <c r="C11" s="8">
        <f>MIN(C2:C6)</f>
        <v>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RowHeight="14.4" x14ac:dyDescent="0.3"/>
  <cols>
    <col min="1" max="1" width="15" customWidth="1"/>
    <col min="2" max="2" width="33" customWidth="1"/>
    <col min="3" max="3" width="37" customWidth="1"/>
    <col min="4" max="4" width="28" customWidth="1"/>
  </cols>
  <sheetData>
    <row r="1" spans="1:4" x14ac:dyDescent="0.3">
      <c r="A1" s="1" t="s">
        <v>68</v>
      </c>
      <c r="B1" s="1" t="s">
        <v>2</v>
      </c>
      <c r="C1" s="1" t="s">
        <v>3</v>
      </c>
    </row>
    <row r="2" spans="1:4" x14ac:dyDescent="0.3">
      <c r="A2" s="2" t="s">
        <v>69</v>
      </c>
      <c r="B2" s="2" t="s">
        <v>7</v>
      </c>
      <c r="C2" s="2">
        <v>28000</v>
      </c>
    </row>
    <row r="3" spans="1:4" x14ac:dyDescent="0.3">
      <c r="A3" s="2" t="s">
        <v>70</v>
      </c>
      <c r="B3" s="2" t="s">
        <v>11</v>
      </c>
      <c r="C3" s="2">
        <v>45000</v>
      </c>
    </row>
    <row r="4" spans="1:4" x14ac:dyDescent="0.3">
      <c r="A4" s="2" t="s">
        <v>71</v>
      </c>
      <c r="B4" s="2" t="s">
        <v>11</v>
      </c>
      <c r="C4" s="2">
        <v>50000</v>
      </c>
    </row>
    <row r="5" spans="1:4" x14ac:dyDescent="0.3">
      <c r="A5" s="2" t="s">
        <v>72</v>
      </c>
      <c r="B5" s="2" t="s">
        <v>15</v>
      </c>
      <c r="C5" s="2">
        <v>42000</v>
      </c>
    </row>
    <row r="6" spans="1:4" x14ac:dyDescent="0.3">
      <c r="A6" s="2" t="s">
        <v>73</v>
      </c>
      <c r="B6" s="2" t="s">
        <v>7</v>
      </c>
      <c r="C6" s="2">
        <v>30000</v>
      </c>
    </row>
    <row r="7" spans="1:4" x14ac:dyDescent="0.3">
      <c r="A7" s="2" t="s">
        <v>74</v>
      </c>
      <c r="B7" s="2" t="s">
        <v>15</v>
      </c>
      <c r="C7" s="2">
        <v>38000</v>
      </c>
    </row>
    <row r="9" spans="1:4" x14ac:dyDescent="0.3">
      <c r="A9" s="1" t="s">
        <v>2</v>
      </c>
      <c r="B9" s="1" t="s">
        <v>75</v>
      </c>
      <c r="C9" s="1" t="s">
        <v>76</v>
      </c>
      <c r="D9" s="1" t="s">
        <v>77</v>
      </c>
    </row>
    <row r="10" spans="1:4" x14ac:dyDescent="0.3">
      <c r="A10" s="2" t="s">
        <v>7</v>
      </c>
      <c r="B10" s="3">
        <f>SUMIF(B2:B7, "HR", C2:C7)</f>
        <v>58000</v>
      </c>
      <c r="C10" s="3">
        <f>AVERAGEIF(B2:B7, "HR", C2:C7)</f>
        <v>29000</v>
      </c>
      <c r="D10" s="2">
        <f>COUNTIF(B2:B7, "HR")</f>
        <v>2</v>
      </c>
    </row>
    <row r="11" spans="1:4" x14ac:dyDescent="0.3">
      <c r="A11" s="2" t="s">
        <v>11</v>
      </c>
      <c r="B11" s="3">
        <f>SUMIF(B2:B7, "IT", C2:C7)</f>
        <v>95000</v>
      </c>
      <c r="C11" s="3">
        <f>AVERAGEIF(B2:B7, "IT", C2:C7)</f>
        <v>47500</v>
      </c>
      <c r="D11" s="2">
        <f>COUNTIF(B2:B7, "IT")</f>
        <v>2</v>
      </c>
    </row>
    <row r="12" spans="1:4" x14ac:dyDescent="0.3">
      <c r="A12" s="2" t="s">
        <v>15</v>
      </c>
      <c r="B12" s="3">
        <f>SUMIF(B2:B7, "Finance", C2:C7)</f>
        <v>80000</v>
      </c>
      <c r="C12" s="3">
        <f>AVERAGEIF(B2:B7, "Finance", C2:C7)</f>
        <v>40000</v>
      </c>
      <c r="D12" s="2">
        <f>COUNTIF(B2:B7, "Finance")</f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4.4" x14ac:dyDescent="0.3"/>
  <cols>
    <col min="1" max="1" width="14" customWidth="1"/>
    <col min="2" max="6" width="7" customWidth="1"/>
    <col min="7" max="8" width="22" customWidth="1"/>
  </cols>
  <sheetData>
    <row r="1" spans="1:8" x14ac:dyDescent="0.3">
      <c r="A1" s="1" t="s">
        <v>42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</row>
    <row r="2" spans="1:8" x14ac:dyDescent="0.3">
      <c r="A2" s="2" t="s">
        <v>47</v>
      </c>
      <c r="B2" s="2" t="s">
        <v>85</v>
      </c>
      <c r="C2" s="2" t="s">
        <v>86</v>
      </c>
      <c r="D2" s="2" t="s">
        <v>85</v>
      </c>
      <c r="E2" s="2" t="s">
        <v>85</v>
      </c>
      <c r="F2" s="2" t="s">
        <v>85</v>
      </c>
      <c r="G2" s="2">
        <f>COUNTIF(B2:F2, "P")</f>
        <v>4</v>
      </c>
      <c r="H2" s="2">
        <f>COUNTIF(B2:F2, "A")</f>
        <v>1</v>
      </c>
    </row>
    <row r="3" spans="1:8" x14ac:dyDescent="0.3">
      <c r="A3" s="2" t="s">
        <v>48</v>
      </c>
      <c r="B3" s="2" t="s">
        <v>85</v>
      </c>
      <c r="C3" s="2" t="s">
        <v>85</v>
      </c>
      <c r="D3" s="2" t="s">
        <v>85</v>
      </c>
      <c r="E3" s="2" t="s">
        <v>86</v>
      </c>
      <c r="F3" s="2" t="s">
        <v>85</v>
      </c>
      <c r="G3" s="2">
        <f>COUNTIF(B3:F3, "P")</f>
        <v>4</v>
      </c>
      <c r="H3" s="2">
        <f>COUNTIF(B3:F3, "A")</f>
        <v>1</v>
      </c>
    </row>
    <row r="4" spans="1:8" x14ac:dyDescent="0.3">
      <c r="A4" s="2" t="s">
        <v>49</v>
      </c>
      <c r="B4" s="2" t="s">
        <v>86</v>
      </c>
      <c r="C4" s="2" t="s">
        <v>85</v>
      </c>
      <c r="D4" s="2" t="s">
        <v>85</v>
      </c>
      <c r="E4" s="2" t="s">
        <v>85</v>
      </c>
      <c r="F4" s="2" t="s">
        <v>85</v>
      </c>
      <c r="G4" s="2">
        <f>COUNTIF(B4:F4, "P")</f>
        <v>4</v>
      </c>
      <c r="H4" s="2">
        <f>COUNTIF(B4:F4, "A")</f>
        <v>1</v>
      </c>
    </row>
    <row r="5" spans="1:8" x14ac:dyDescent="0.3">
      <c r="A5" s="2" t="s">
        <v>50</v>
      </c>
      <c r="B5" s="2" t="s">
        <v>85</v>
      </c>
      <c r="C5" s="2" t="s">
        <v>86</v>
      </c>
      <c r="D5" s="2" t="s">
        <v>86</v>
      </c>
      <c r="E5" s="2" t="s">
        <v>85</v>
      </c>
      <c r="F5" s="2" t="s">
        <v>86</v>
      </c>
      <c r="G5" s="2">
        <f>COUNTIF(B5:F5, "P")</f>
        <v>2</v>
      </c>
      <c r="H5" s="2">
        <f>COUNTIF(B5:F5, "A")</f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defaultRowHeight="14.4" x14ac:dyDescent="0.3"/>
  <cols>
    <col min="1" max="1" width="15" customWidth="1"/>
    <col min="2" max="2" width="27" customWidth="1"/>
  </cols>
  <sheetData>
    <row r="1" spans="1:2" x14ac:dyDescent="0.3">
      <c r="A1" s="1" t="s">
        <v>87</v>
      </c>
      <c r="B1" s="1" t="s">
        <v>27</v>
      </c>
    </row>
    <row r="2" spans="1:2" x14ac:dyDescent="0.3">
      <c r="A2" s="2" t="s">
        <v>88</v>
      </c>
      <c r="B2" s="2">
        <v>4500</v>
      </c>
    </row>
    <row r="3" spans="1:2" x14ac:dyDescent="0.3">
      <c r="A3" s="2" t="s">
        <v>89</v>
      </c>
      <c r="B3" s="2">
        <v>12000</v>
      </c>
    </row>
    <row r="4" spans="1:2" x14ac:dyDescent="0.3">
      <c r="A4" s="2" t="s">
        <v>90</v>
      </c>
      <c r="B4" s="2">
        <v>8000</v>
      </c>
    </row>
    <row r="5" spans="1:2" x14ac:dyDescent="0.3">
      <c r="A5" s="2" t="s">
        <v>91</v>
      </c>
      <c r="B5" s="2">
        <v>25000</v>
      </c>
    </row>
    <row r="6" spans="1:2" x14ac:dyDescent="0.3">
      <c r="A6" s="2" t="s">
        <v>92</v>
      </c>
      <c r="B6" s="2">
        <v>3000</v>
      </c>
    </row>
    <row r="7" spans="1:2" x14ac:dyDescent="0.3">
      <c r="A7" s="2" t="s">
        <v>93</v>
      </c>
      <c r="B7" s="2">
        <v>15000</v>
      </c>
    </row>
    <row r="9" spans="1:2" x14ac:dyDescent="0.3">
      <c r="A9" s="7" t="s">
        <v>94</v>
      </c>
      <c r="B9">
        <f>COUNTIF(B2:B7, "&gt;10000")</f>
        <v>3</v>
      </c>
    </row>
    <row r="10" spans="1:2" x14ac:dyDescent="0.3">
      <c r="A10" s="7" t="s">
        <v>95</v>
      </c>
      <c r="B10">
        <f>COUNTIF(B2:B7, "&lt;5000")</f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4.4" x14ac:dyDescent="0.3"/>
  <cols>
    <col min="1" max="1" width="12" customWidth="1"/>
    <col min="2" max="2" width="14" customWidth="1"/>
  </cols>
  <sheetData>
    <row r="1" spans="1:2" x14ac:dyDescent="0.3">
      <c r="A1" s="1" t="s">
        <v>96</v>
      </c>
      <c r="B1" s="1" t="s">
        <v>27</v>
      </c>
    </row>
    <row r="2" spans="1:2" x14ac:dyDescent="0.3">
      <c r="A2" s="2" t="s">
        <v>97</v>
      </c>
      <c r="B2" s="2">
        <v>22000</v>
      </c>
    </row>
    <row r="3" spans="1:2" x14ac:dyDescent="0.3">
      <c r="A3" s="2" t="s">
        <v>98</v>
      </c>
      <c r="B3" s="2">
        <v>3500</v>
      </c>
    </row>
    <row r="4" spans="1:2" x14ac:dyDescent="0.3">
      <c r="A4" s="2" t="s">
        <v>99</v>
      </c>
      <c r="B4" s="2">
        <v>58000</v>
      </c>
    </row>
    <row r="5" spans="1:2" x14ac:dyDescent="0.3">
      <c r="A5" s="2" t="s">
        <v>100</v>
      </c>
      <c r="B5" s="2">
        <v>1800</v>
      </c>
    </row>
    <row r="6" spans="1:2" x14ac:dyDescent="0.3">
      <c r="A6" s="2" t="s">
        <v>101</v>
      </c>
      <c r="B6" s="2">
        <v>12000</v>
      </c>
    </row>
  </sheetData>
  <conditionalFormatting sqref="B2:B6">
    <cfRule type="cellIs" dxfId="6" priority="1" operator="greaterThan">
      <formula>20000</formula>
    </cfRule>
    <cfRule type="cellIs" dxfId="5" priority="2" operator="lessThan">
      <formula>5000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4" x14ac:dyDescent="0.3"/>
  <cols>
    <col min="1" max="1" width="9" customWidth="1"/>
    <col min="2" max="2" width="8" customWidth="1"/>
    <col min="3" max="3" width="7" customWidth="1"/>
  </cols>
  <sheetData>
    <row r="1" spans="1:3" x14ac:dyDescent="0.3">
      <c r="A1" s="1" t="s">
        <v>41</v>
      </c>
      <c r="B1" s="1" t="s">
        <v>1</v>
      </c>
      <c r="C1" s="1" t="s">
        <v>102</v>
      </c>
    </row>
    <row r="2" spans="1:3" x14ac:dyDescent="0.3">
      <c r="A2" s="2">
        <v>1</v>
      </c>
      <c r="B2" s="2" t="s">
        <v>73</v>
      </c>
      <c r="C2" s="2">
        <v>85</v>
      </c>
    </row>
    <row r="3" spans="1:3" x14ac:dyDescent="0.3">
      <c r="A3" s="2">
        <v>2</v>
      </c>
      <c r="B3" s="2" t="s">
        <v>103</v>
      </c>
      <c r="C3" s="2">
        <v>72</v>
      </c>
    </row>
    <row r="4" spans="1:3" x14ac:dyDescent="0.3">
      <c r="A4" s="2">
        <v>3</v>
      </c>
      <c r="B4" s="2" t="s">
        <v>104</v>
      </c>
      <c r="C4" s="2">
        <v>39</v>
      </c>
    </row>
    <row r="5" spans="1:3" x14ac:dyDescent="0.3">
      <c r="A5" s="2">
        <v>4</v>
      </c>
      <c r="B5" s="2" t="s">
        <v>105</v>
      </c>
      <c r="C5" s="2">
        <v>91</v>
      </c>
    </row>
    <row r="6" spans="1:3" x14ac:dyDescent="0.3">
      <c r="A6" s="2">
        <v>5</v>
      </c>
      <c r="B6" s="2" t="s">
        <v>106</v>
      </c>
      <c r="C6" s="2">
        <v>28</v>
      </c>
    </row>
  </sheetData>
  <conditionalFormatting sqref="C2:C6">
    <cfRule type="cellIs" dxfId="4" priority="1" operator="greaterThanOrEqual">
      <formula>75</formula>
    </cfRule>
    <cfRule type="cellIs" dxfId="3" priority="2" operator="lessThan">
      <formula>40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defaultRowHeight="14.4" x14ac:dyDescent="0.3"/>
  <cols>
    <col min="1" max="1" width="15" customWidth="1"/>
    <col min="2" max="2" width="8" customWidth="1"/>
  </cols>
  <sheetData>
    <row r="1" spans="1:2" x14ac:dyDescent="0.3">
      <c r="A1" s="1" t="s">
        <v>68</v>
      </c>
      <c r="B1" s="1" t="s">
        <v>3</v>
      </c>
    </row>
    <row r="2" spans="1:2" x14ac:dyDescent="0.3">
      <c r="A2" s="2" t="s">
        <v>107</v>
      </c>
      <c r="B2" s="2">
        <v>28000</v>
      </c>
    </row>
    <row r="3" spans="1:2" x14ac:dyDescent="0.3">
      <c r="A3" s="2" t="s">
        <v>108</v>
      </c>
      <c r="B3" s="2">
        <v>34000</v>
      </c>
    </row>
    <row r="4" spans="1:2" x14ac:dyDescent="0.3">
      <c r="A4" s="2" t="s">
        <v>109</v>
      </c>
      <c r="B4" s="2">
        <v>51000</v>
      </c>
    </row>
    <row r="5" spans="1:2" x14ac:dyDescent="0.3">
      <c r="A5" s="2" t="s">
        <v>110</v>
      </c>
      <c r="B5" s="2">
        <v>47000</v>
      </c>
    </row>
    <row r="6" spans="1:2" x14ac:dyDescent="0.3">
      <c r="A6" s="2" t="s">
        <v>111</v>
      </c>
      <c r="B6" s="2">
        <v>29000</v>
      </c>
    </row>
  </sheetData>
  <conditionalFormatting sqref="B2:B6">
    <cfRule type="cellIs" dxfId="2" priority="1" operator="greaterThanOrEqual">
      <formula>50000</formula>
    </cfRule>
    <cfRule type="cellIs" dxfId="1" priority="2" operator="between">
      <formula>30000</formula>
      <formula>49999</formula>
    </cfRule>
    <cfRule type="cellIs" dxfId="0" priority="3" operator="lessThan">
      <formula>30000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1 - Employee</vt:lpstr>
      <vt:lpstr>Task 2 - Sales Report</vt:lpstr>
      <vt:lpstr>Task 3 - Student Marks</vt:lpstr>
      <vt:lpstr>Task 4 - Sales Summary</vt:lpstr>
      <vt:lpstr>Task 5 - Dept Analysis</vt:lpstr>
      <vt:lpstr>Task 6 - Attendance</vt:lpstr>
      <vt:lpstr>Task 7 - Sales Count</vt:lpstr>
      <vt:lpstr>Task 8 - CF Sales</vt:lpstr>
      <vt:lpstr>Task 9 - CF Marks</vt:lpstr>
      <vt:lpstr>Task 10 - CF 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vanra</cp:lastModifiedBy>
  <dcterms:created xsi:type="dcterms:W3CDTF">2026-07-17T04:08:17Z</dcterms:created>
  <dcterms:modified xsi:type="dcterms:W3CDTF">2026-07-17T04:11:04Z</dcterms:modified>
</cp:coreProperties>
</file>