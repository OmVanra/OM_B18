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1\OneDrive\Desktop\"/>
    </mc:Choice>
  </mc:AlternateContent>
  <xr:revisionPtr revIDLastSave="0" documentId="8_{E90F8220-A7B5-4FCE-B4FB-04E98A6BE2BB}" xr6:coauthVersionLast="47" xr6:coauthVersionMax="47" xr10:uidLastSave="{00000000-0000-0000-0000-000000000000}"/>
  <bookViews>
    <workbookView xWindow="-120" yWindow="-120" windowWidth="20730" windowHeight="11040" activeTab="2" xr2:uid="{073CFCB7-8C34-40E9-917E-A064D5901959}"/>
  </bookViews>
  <sheets>
    <sheet name="Vlookup" sheetId="1" r:id="rId1"/>
    <sheet name="Hlookup" sheetId="2" r:id="rId2"/>
    <sheet name="Xlookup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3" i="3" l="1" a="1"/>
  <c r="G13" i="3" s="1"/>
  <c r="C2" i="4"/>
  <c r="D2" i="4" s="1"/>
  <c r="B2" i="4"/>
  <c r="I17" i="2"/>
  <c r="J17" i="2"/>
  <c r="K17" i="2"/>
  <c r="L17" i="2"/>
  <c r="H17" i="2"/>
  <c r="P12" i="1"/>
  <c r="Q12" i="1"/>
  <c r="O12" i="1"/>
  <c r="H11" i="3" a="1"/>
  <c r="H11" i="3" s="1"/>
  <c r="H10" i="3" a="1"/>
  <c r="H10" i="3" s="1"/>
  <c r="H7" i="3"/>
  <c r="H3" i="3"/>
  <c r="N13" i="2"/>
  <c r="K13" i="2"/>
  <c r="L13" i="2"/>
  <c r="M13" i="2"/>
  <c r="J13" i="2"/>
  <c r="L8" i="2"/>
  <c r="L7" i="2"/>
  <c r="H17" i="1"/>
  <c r="I17" i="1"/>
  <c r="G17" i="1"/>
  <c r="L7" i="1"/>
  <c r="G11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<sst xmlns="http://schemas.openxmlformats.org/spreadsheetml/2006/main" count="153" uniqueCount="62">
  <si>
    <t>Employee ID</t>
  </si>
  <si>
    <t>Name</t>
  </si>
  <si>
    <t>Department</t>
  </si>
  <si>
    <t>Salary</t>
  </si>
  <si>
    <t>E101</t>
  </si>
  <si>
    <t>John Smith</t>
  </si>
  <si>
    <t>Sales</t>
  </si>
  <si>
    <t>E102</t>
  </si>
  <si>
    <t>Sarah Lee</t>
  </si>
  <si>
    <t>HR</t>
  </si>
  <si>
    <t>E103</t>
  </si>
  <si>
    <t>David Kim</t>
  </si>
  <si>
    <t>IT</t>
  </si>
  <si>
    <t>E104</t>
  </si>
  <si>
    <t>Emma Brown</t>
  </si>
  <si>
    <t>Finance</t>
  </si>
  <si>
    <t>E105</t>
  </si>
  <si>
    <t>Michael Jones</t>
  </si>
  <si>
    <t>Marketing</t>
  </si>
  <si>
    <t>E106</t>
  </si>
  <si>
    <t>Olivia Davis</t>
  </si>
  <si>
    <t>E107</t>
  </si>
  <si>
    <t>Daniel Wilson</t>
  </si>
  <si>
    <t>E108</t>
  </si>
  <si>
    <t>Sophia Taylor</t>
  </si>
  <si>
    <t>E109</t>
  </si>
  <si>
    <t>James Anderson</t>
  </si>
  <si>
    <t>Emp ID</t>
  </si>
  <si>
    <t xml:space="preserve">Name </t>
  </si>
  <si>
    <t>Field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</si>
  <si>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</si>
  <si>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</si>
  <si>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</si>
  <si>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</si>
  <si>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</si>
  <si>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</si>
  <si>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</si>
  <si>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</si>
  <si>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Product Name</t>
  </si>
  <si>
    <t>Laptop</t>
  </si>
  <si>
    <t>Smartphone</t>
  </si>
  <si>
    <t>Monitor</t>
  </si>
  <si>
    <t>Keyboard</t>
  </si>
  <si>
    <t>Mouse</t>
  </si>
  <si>
    <t>Printer</t>
  </si>
  <si>
    <t>Headphones</t>
  </si>
  <si>
    <t>Webcam</t>
  </si>
  <si>
    <t>Category</t>
  </si>
  <si>
    <t>Electronics</t>
  </si>
  <si>
    <t>Accessories</t>
  </si>
  <si>
    <t>Price</t>
  </si>
  <si>
    <t>Stock</t>
  </si>
  <si>
    <t>Supplier</t>
  </si>
  <si>
    <t>Dell</t>
  </si>
  <si>
    <t>Samsung</t>
  </si>
  <si>
    <t>LG</t>
  </si>
  <si>
    <t>Logitech</t>
  </si>
  <si>
    <t>HP</t>
  </si>
  <si>
    <t>Canon</t>
  </si>
  <si>
    <t>Sony</t>
  </si>
  <si>
    <t>E1010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</si>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</sst>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1FD9-3D5F-44E7-B093-D576BACDA9BD}">
  <dimension ref="A1:Q17"/>
  <sheetViews>
    <sheetView workbookViewId="0">
      <selection sqref="A1:D1"/>
    </sheetView>
  </sheetViews>
  <sheetFormatPr defaultRowHeight="15" x14ac:dyDescent="0.25"/>
  <cols>
    <col min="1" max="1" width="8.140625" customWidth="1"/>
    <col min="2" max="2" width="14.7109375" customWidth="1"/>
    <col min="3" max="3" width="14" customWidth="1"/>
    <col min="4" max="4" width="7.7109375" customWidth="1"/>
  </cols>
  <sheetData>
    <row r="1" spans="1:17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7" x14ac:dyDescent="0.25">
      <c r="A2" s="3" t="s">
        <v>4</v>
      </c>
      <c r="B2" s="3" t="s">
        <v>5</v>
      </c>
      <c r="C2" s="3" t="s">
        <v>6</v>
      </c>
      <c r="D2" s="3">
        <v>55000</v>
      </c>
    </row>
    <row r="3" spans="1:17" x14ac:dyDescent="0.25">
      <c r="A3" s="3" t="s">
        <v>7</v>
      </c>
      <c r="B3" s="3" t="s">
        <v>8</v>
      </c>
      <c r="C3" s="3" t="s">
        <v>9</v>
      </c>
      <c r="D3" s="3">
        <v>60000</v>
      </c>
    </row>
    <row r="4" spans="1:17" x14ac:dyDescent="0.25">
      <c r="A4" s="3" t="s">
        <v>10</v>
      </c>
      <c r="B4" s="3" t="s">
        <v>11</v>
      </c>
      <c r="C4" s="3" t="s">
        <v>12</v>
      </c>
      <c r="D4" s="3">
        <v>72000</v>
      </c>
      <c r="F4" s="4" t="s">
        <v>27</v>
      </c>
      <c r="G4" s="4" t="s">
        <v>28</v>
      </c>
    </row>
    <row r="5" spans="1:17" x14ac:dyDescent="0.25">
      <c r="A5" s="3" t="s">
        <v>13</v>
      </c>
      <c r="B5" s="3" t="s">
        <v>14</v>
      </c>
      <c r="C5" s="3" t="s">
        <v>15</v>
      </c>
      <c r="D5" s="3">
        <v>68000</v>
      </c>
      <c r="F5" s="4" t="s">
        <v>7</v>
      </c>
      <c r="G5" s="5" t="str">
        <f>VLOOKUP(F5,A1:D10,2,0)</f>
        <v>Sarah Lee</v>
      </c>
    </row>
    <row r="6" spans="1:17" x14ac:dyDescent="0.25">
      <c r="A6" s="3" t="s">
        <v>16</v>
      </c>
      <c r="B6" s="3" t="s">
        <v>17</v>
      </c>
      <c r="C6" s="3" t="s">
        <v>18</v>
      </c>
      <c r="D6" s="3">
        <v>58000</v>
      </c>
      <c r="K6" s="5" t="s">
        <v>1</v>
      </c>
      <c r="L6" s="5" t="s">
        <v>3</v>
      </c>
    </row>
    <row r="7" spans="1:17" x14ac:dyDescent="0.25">
      <c r="A7" s="3" t="s">
        <v>19</v>
      </c>
      <c r="B7" s="3" t="s">
        <v>20</v>
      </c>
      <c r="C7" s="3" t="s">
        <v>12</v>
      </c>
      <c r="D7" s="3">
        <v>75000</v>
      </c>
      <c r="K7" s="5" t="s">
        <v>5</v>
      </c>
      <c r="L7" s="5">
        <f>VLOOKUP(K7,B1:D10,3,0)</f>
        <v>55000</v>
      </c>
    </row>
    <row r="8" spans="1:17" x14ac:dyDescent="0.25">
      <c r="A8" s="3" t="s">
        <v>21</v>
      </c>
      <c r="B8" s="3" t="s">
        <v>22</v>
      </c>
      <c r="C8" s="3" t="s">
        <v>6</v>
      </c>
      <c r="D8" s="3">
        <v>53000</v>
      </c>
    </row>
    <row r="9" spans="1:17" x14ac:dyDescent="0.25">
      <c r="A9" s="3" t="s">
        <v>23</v>
      </c>
      <c r="B9" s="3" t="s">
        <v>24</v>
      </c>
      <c r="C9" s="3" t="s">
        <v>9</v>
      </c>
      <c r="D9" s="3">
        <v>62000</v>
      </c>
    </row>
    <row r="10" spans="1:17" ht="30" x14ac:dyDescent="0.25">
      <c r="A10" s="3" t="s">
        <v>25</v>
      </c>
      <c r="B10" s="3" t="s">
        <v>26</v>
      </c>
      <c r="C10" s="3" t="s">
        <v>15</v>
      </c>
      <c r="D10" s="3">
        <v>70000</v>
      </c>
      <c r="F10" s="4" t="s">
        <v>27</v>
      </c>
      <c r="G10" s="4" t="s">
        <v>2</v>
      </c>
    </row>
    <row r="11" spans="1:17" ht="30" x14ac:dyDescent="0.25">
      <c r="F11" s="5" t="s">
        <v>13</v>
      </c>
      <c r="G11" s="5" t="str">
        <f>VLOOKUP(F11,A1:D10,3,0)</f>
        <v>Finance</v>
      </c>
      <c r="N11" s="7" t="s">
        <v>0</v>
      </c>
      <c r="O11" s="7" t="s">
        <v>1</v>
      </c>
      <c r="P11" s="7" t="s">
        <v>2</v>
      </c>
      <c r="Q11" s="7" t="s">
        <v>3</v>
      </c>
    </row>
    <row r="12" spans="1:17" x14ac:dyDescent="0.25">
      <c r="N12" s="5" t="s">
        <v>60</v>
      </c>
      <c r="O12" s="5" t="str">
        <f>IFERROR(VLOOKUP($N$12,$A$1:$D$10,COLUMNS($N$11:O11),0),"invalid")</f>
        <v>invalid</v>
      </c>
      <c r="P12" s="5" t="str">
        <f>IFERROR(VLOOKUP($N$12,$A$1:$D$10,COLUMNS($N$11:P11),0),"invalid")</f>
        <v>invalid</v>
      </c>
      <c r="Q12" s="5" t="str">
        <f>IFERROR(VLOOKUP($N$12,$A$1:$D$10,COLUMNS($N$11:Q11),0),"invalid")</f>
        <v>invalid</v>
      </c>
    </row>
    <row r="16" spans="1:17" ht="30" x14ac:dyDescent="0.25">
      <c r="F16" s="7" t="s">
        <v>0</v>
      </c>
      <c r="G16" s="7" t="s">
        <v>1</v>
      </c>
      <c r="H16" s="7" t="s">
        <v>2</v>
      </c>
      <c r="I16" s="7" t="s">
        <v>3</v>
      </c>
    </row>
    <row r="17" spans="6:9" x14ac:dyDescent="0.25">
      <c r="F17" s="5" t="s">
        <v>4</v>
      </c>
      <c r="G17" s="5" t="str">
        <f>VLOOKUP($F$17,$A$1:$D$10,COLUMNS($F$16:G16),0)</f>
        <v>John Smith</v>
      </c>
      <c r="H17" s="5" t="str">
        <f>VLOOKUP($F$17,$A$1:$D$10,COLUMNS($F$16:H16),0)</f>
        <v>Sales</v>
      </c>
      <c r="I17" s="5">
        <f>VLOOKUP($F$17,$A$1:$D$10,COLUMNS($F$16:I16),0)</f>
        <v>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7B47-DF9E-40DC-89DD-1F77425D95D8}">
  <dimension ref="A1:N17"/>
  <sheetViews>
    <sheetView workbookViewId="0">
      <selection activeCell="H9" sqref="H9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11.85546875" bestFit="1" customWidth="1"/>
    <col min="4" max="4" width="10.5703125" bestFit="1" customWidth="1"/>
    <col min="5" max="5" width="11.28515625" bestFit="1" customWidth="1"/>
    <col min="6" max="6" width="10.42578125" bestFit="1" customWidth="1"/>
    <col min="7" max="7" width="10.5703125" bestFit="1" customWidth="1"/>
    <col min="8" max="8" width="12.140625" bestFit="1" customWidth="1"/>
    <col min="9" max="9" width="7.140625" bestFit="1" customWidth="1"/>
    <col min="10" max="10" width="7.42578125" bestFit="1" customWidth="1"/>
    <col min="11" max="11" width="6.140625" bestFit="1" customWidth="1"/>
    <col min="12" max="12" width="11.28515625" bestFit="1" customWidth="1"/>
    <col min="13" max="13" width="3.85546875" bestFit="1" customWidth="1"/>
    <col min="14" max="14" width="5.140625" bestFit="1" customWidth="1"/>
  </cols>
  <sheetData>
    <row r="1" spans="1:14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spans="1:14" ht="30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</row>
    <row r="3" spans="1:14" ht="30" x14ac:dyDescent="0.25">
      <c r="A3" s="1" t="s">
        <v>47</v>
      </c>
      <c r="B3" s="1" t="s">
        <v>48</v>
      </c>
      <c r="C3" s="1" t="s">
        <v>48</v>
      </c>
      <c r="D3" s="1" t="s">
        <v>48</v>
      </c>
      <c r="E3" s="1" t="s">
        <v>49</v>
      </c>
      <c r="F3" s="1" t="s">
        <v>49</v>
      </c>
      <c r="G3" s="1" t="s">
        <v>48</v>
      </c>
      <c r="H3" s="1" t="s">
        <v>49</v>
      </c>
      <c r="I3" s="1" t="s">
        <v>49</v>
      </c>
    </row>
    <row r="4" spans="1:14" x14ac:dyDescent="0.25">
      <c r="A4" s="1" t="s">
        <v>50</v>
      </c>
      <c r="B4" s="1">
        <v>800</v>
      </c>
      <c r="C4" s="1">
        <v>500</v>
      </c>
      <c r="D4" s="1">
        <v>250</v>
      </c>
      <c r="E4" s="1">
        <v>40</v>
      </c>
      <c r="F4" s="1">
        <v>25</v>
      </c>
      <c r="G4" s="1">
        <v>150</v>
      </c>
      <c r="H4" s="1">
        <v>80</v>
      </c>
      <c r="I4" s="1">
        <v>60</v>
      </c>
    </row>
    <row r="5" spans="1:14" x14ac:dyDescent="0.25">
      <c r="A5" s="1" t="s">
        <v>51</v>
      </c>
      <c r="B5" s="1">
        <v>25</v>
      </c>
      <c r="C5" s="1">
        <v>50</v>
      </c>
      <c r="D5" s="1">
        <v>30</v>
      </c>
      <c r="E5" s="1">
        <v>120</v>
      </c>
      <c r="F5" s="1">
        <v>200</v>
      </c>
      <c r="G5" s="1">
        <v>15</v>
      </c>
      <c r="H5" s="1">
        <v>70</v>
      </c>
      <c r="I5" s="1">
        <v>45</v>
      </c>
    </row>
    <row r="6" spans="1:14" x14ac:dyDescent="0.25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56</v>
      </c>
    </row>
    <row r="7" spans="1:14" x14ac:dyDescent="0.25">
      <c r="K7" s="8" t="s">
        <v>34</v>
      </c>
      <c r="L7" s="8" t="str">
        <f>HLOOKUP(K7,A1:I6,3,0)</f>
        <v>Accessories</v>
      </c>
    </row>
    <row r="8" spans="1:14" x14ac:dyDescent="0.25">
      <c r="K8" s="9" t="s">
        <v>35</v>
      </c>
      <c r="L8" s="9">
        <f>HLOOKUP(K8,A1:I6,4,0)</f>
        <v>150</v>
      </c>
    </row>
    <row r="12" spans="1:14" ht="30" x14ac:dyDescent="0.25">
      <c r="I12" s="8" t="s">
        <v>61</v>
      </c>
      <c r="J12" s="7" t="s">
        <v>38</v>
      </c>
      <c r="K12" s="7" t="s">
        <v>47</v>
      </c>
      <c r="L12" s="7" t="s">
        <v>50</v>
      </c>
      <c r="M12" s="7" t="s">
        <v>51</v>
      </c>
      <c r="N12" s="7" t="s">
        <v>52</v>
      </c>
    </row>
    <row r="13" spans="1:14" x14ac:dyDescent="0.25">
      <c r="I13" s="6" t="s">
        <v>30</v>
      </c>
      <c r="J13" s="5" t="str">
        <f>HLOOKUP($I$13,$A$1:$I$6,COLUMNS($A$7:B7),0)</f>
        <v>Laptop</v>
      </c>
      <c r="K13" s="5" t="str">
        <f>HLOOKUP($I$13,$A$1:$I$6,COLUMNS($A$7:C7),0)</f>
        <v>Electronics</v>
      </c>
      <c r="L13" s="5">
        <f>HLOOKUP($I$13,$A$1:$I$6,COLUMNS($A$7:D7),0)</f>
        <v>800</v>
      </c>
      <c r="M13" s="5">
        <f>HLOOKUP($I$13,$A$1:$I$6,COLUMNS($A$7:E7),0)</f>
        <v>25</v>
      </c>
      <c r="N13" s="5" t="str">
        <f>HLOOKUP($I$13,$A$1:$I$6,COLUMNS($A$7:F7),0)</f>
        <v>Dell</v>
      </c>
    </row>
    <row r="16" spans="1:14" ht="30" x14ac:dyDescent="0.25">
      <c r="G16" s="8" t="s">
        <v>61</v>
      </c>
      <c r="H16" s="7" t="s">
        <v>38</v>
      </c>
      <c r="I16" s="7" t="s">
        <v>47</v>
      </c>
      <c r="J16" s="7" t="s">
        <v>50</v>
      </c>
      <c r="K16" s="7" t="s">
        <v>51</v>
      </c>
      <c r="L16" s="7" t="s">
        <v>52</v>
      </c>
    </row>
    <row r="17" spans="7:12" x14ac:dyDescent="0.25">
      <c r="G17" s="9" t="s">
        <v>32</v>
      </c>
      <c r="H17" s="9" t="str">
        <f>HLOOKUP($G$17,$A$1:$I$6,COLUMNS($A$7:B7),0)</f>
        <v>Monitor</v>
      </c>
      <c r="I17" s="9" t="str">
        <f>HLOOKUP($G$17,$A$1:$I$6,COLUMNS($A$7:C7),0)</f>
        <v>Electronics</v>
      </c>
      <c r="J17" s="9">
        <f>HLOOKUP($G$17,$A$1:$I$6,COLUMNS($A$7:D7),0)</f>
        <v>250</v>
      </c>
      <c r="K17" s="9">
        <f>HLOOKUP($G$17,$A$1:$I$6,COLUMNS($A$7:E7),0)</f>
        <v>30</v>
      </c>
      <c r="L17" s="9" t="str">
        <f>HLOOKUP($G$17,$A$1:$I$6,COLUMNS($A$7:F7),0)</f>
        <v>LG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B59B-7C00-433F-92F6-07594A73BF1A}">
  <dimension ref="A1:J13"/>
  <sheetViews>
    <sheetView tabSelected="1" workbookViewId="0">
      <selection activeCell="J14" sqref="J14"/>
    </sheetView>
  </sheetViews>
  <sheetFormatPr defaultRowHeight="15" x14ac:dyDescent="0.25"/>
  <cols>
    <col min="1" max="1" width="9.85546875" bestFit="1" customWidth="1"/>
    <col min="2" max="2" width="13.5703125" bestFit="1" customWidth="1"/>
    <col min="3" max="3" width="9" bestFit="1" customWidth="1"/>
    <col min="4" max="4" width="6.28515625" bestFit="1" customWidth="1"/>
    <col min="7" max="7" width="9.85546875" bestFit="1" customWidth="1"/>
    <col min="8" max="8" width="9.42578125" bestFit="1" customWidth="1"/>
    <col min="9" max="9" width="8.7109375" bestFit="1" customWidth="1"/>
    <col min="10" max="10" width="6.28515625" bestFit="1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0" x14ac:dyDescent="0.25">
      <c r="A2" s="1" t="s">
        <v>4</v>
      </c>
      <c r="B2" s="1" t="s">
        <v>5</v>
      </c>
      <c r="C2" s="1" t="s">
        <v>6</v>
      </c>
      <c r="D2" s="1">
        <v>55000</v>
      </c>
      <c r="G2" s="6" t="s">
        <v>27</v>
      </c>
      <c r="H2" s="6" t="s">
        <v>1</v>
      </c>
    </row>
    <row r="3" spans="1:10" x14ac:dyDescent="0.25">
      <c r="A3" s="1" t="s">
        <v>7</v>
      </c>
      <c r="B3" s="1" t="s">
        <v>8</v>
      </c>
      <c r="C3" s="1" t="s">
        <v>9</v>
      </c>
      <c r="D3" s="1">
        <v>60000</v>
      </c>
      <c r="G3" s="5" t="s">
        <v>4</v>
      </c>
      <c r="H3" s="5" t="str">
        <f>_xlfn.XLOOKUP(G3,A2:A10,B2:B10)</f>
        <v>John Smith</v>
      </c>
    </row>
    <row r="4" spans="1:10" x14ac:dyDescent="0.25">
      <c r="A4" s="1" t="s">
        <v>10</v>
      </c>
      <c r="B4" s="1" t="s">
        <v>11</v>
      </c>
      <c r="C4" s="1" t="s">
        <v>12</v>
      </c>
      <c r="D4" s="1">
        <v>72000</v>
      </c>
    </row>
    <row r="5" spans="1:10" x14ac:dyDescent="0.25">
      <c r="A5" s="1" t="s">
        <v>13</v>
      </c>
      <c r="B5" s="1" t="s">
        <v>14</v>
      </c>
      <c r="C5" s="1" t="s">
        <v>15</v>
      </c>
      <c r="D5" s="1">
        <v>68000</v>
      </c>
    </row>
    <row r="6" spans="1:10" ht="30" x14ac:dyDescent="0.25">
      <c r="A6" s="1" t="s">
        <v>16</v>
      </c>
      <c r="B6" s="1" t="s">
        <v>17</v>
      </c>
      <c r="C6" s="1" t="s">
        <v>18</v>
      </c>
      <c r="D6" s="1">
        <v>58000</v>
      </c>
      <c r="G6" s="8" t="s">
        <v>1</v>
      </c>
      <c r="H6" s="8" t="s">
        <v>3</v>
      </c>
    </row>
    <row r="7" spans="1:10" x14ac:dyDescent="0.25">
      <c r="A7" s="1" t="s">
        <v>19</v>
      </c>
      <c r="B7" s="1" t="s">
        <v>20</v>
      </c>
      <c r="C7" s="1" t="s">
        <v>12</v>
      </c>
      <c r="D7" s="1">
        <v>75000</v>
      </c>
      <c r="G7" s="9" t="s">
        <v>11</v>
      </c>
      <c r="H7" s="9">
        <f>_xlfn.XLOOKUP(G7,B2:B10,D2:D10)</f>
        <v>72000</v>
      </c>
    </row>
    <row r="8" spans="1:10" x14ac:dyDescent="0.25">
      <c r="A8" s="1" t="s">
        <v>21</v>
      </c>
      <c r="B8" s="1" t="s">
        <v>22</v>
      </c>
      <c r="C8" s="1" t="s">
        <v>6</v>
      </c>
      <c r="D8" s="1">
        <v>53000</v>
      </c>
    </row>
    <row r="9" spans="1:10" ht="30" x14ac:dyDescent="0.25">
      <c r="A9" s="1" t="s">
        <v>23</v>
      </c>
      <c r="B9" s="1" t="s">
        <v>24</v>
      </c>
      <c r="C9" s="1" t="s">
        <v>9</v>
      </c>
      <c r="D9" s="1">
        <v>62000</v>
      </c>
      <c r="G9" s="7" t="s">
        <v>0</v>
      </c>
      <c r="H9" s="7" t="s">
        <v>1</v>
      </c>
      <c r="I9" s="7" t="s">
        <v>2</v>
      </c>
      <c r="J9" s="7" t="s">
        <v>3</v>
      </c>
    </row>
    <row r="10" spans="1:10" ht="30" x14ac:dyDescent="0.25">
      <c r="A10" s="1" t="s">
        <v>25</v>
      </c>
      <c r="B10" s="1" t="s">
        <v>26</v>
      </c>
      <c r="C10" s="1" t="s">
        <v>15</v>
      </c>
      <c r="D10" s="1">
        <v>70000</v>
      </c>
      <c r="G10" s="5" t="s">
        <v>7</v>
      </c>
      <c r="H10" s="5" t="str" cm="1">
        <f t="array" ref="H10:J10">_xlfn.XLOOKUP(G10,A2:A10,B2:D10,)</f>
        <v>Sarah Lee</v>
      </c>
      <c r="I10" s="5" t="str">
        <v>HR</v>
      </c>
      <c r="J10" s="5">
        <v>60000</v>
      </c>
    </row>
    <row r="11" spans="1:10" x14ac:dyDescent="0.25">
      <c r="G11" s="5" t="s">
        <v>60</v>
      </c>
      <c r="H11" s="5" t="str" cm="1">
        <f t="array" ref="H11">_xlfn.XLOOKUP(G11,A2:A10,B2:D10,"invalid")</f>
        <v>invalid</v>
      </c>
      <c r="I11" s="5"/>
      <c r="J11" s="5"/>
    </row>
    <row r="13" spans="1:10" x14ac:dyDescent="0.25">
      <c r="F13" s="5" t="s">
        <v>4</v>
      </c>
      <c r="G13" s="5" t="str" cm="1">
        <f t="array" ref="G13:H13">_xlfn.XLOOKUP(F13,A2:A10,CHOOSE({1,2},B2:B10,D2:D10))</f>
        <v>John Smith</v>
      </c>
      <c r="H13" s="5">
        <v>55000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2629-F640-4D8A-905E-2444931314E5}">
  <dimension ref="A1:D2"/>
  <sheetViews>
    <sheetView workbookViewId="0">
      <selection activeCell="D6" sqref="D6"/>
    </sheetView>
  </sheetViews>
  <sheetFormatPr defaultRowHeight="15" x14ac:dyDescent="0.25"/>
  <sheetData>
    <row r="1" spans="1:4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tr">
        <f>VLOOKUP(A2,Vlookup!A2:D10,COLUMNS(Vlookup!A1:B1),0)</f>
        <v>John Smith</v>
      </c>
      <c r="C2" t="str">
        <f>VLOOKUP(B2,Vlookup!B2:E10,COLUMNS(Vlookup!B1:C1),0)</f>
        <v>Sales</v>
      </c>
      <c r="D2">
        <f>VLOOKUP(C2,Vlookup!C2:F10,COLUMNS(Vlookup!C1:D1),0)</f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ASDC41</dc:creator>
  <cp:lastModifiedBy>ASDC41</cp:lastModifiedBy>
  <dcterms:created xsi:type="dcterms:W3CDTF">2026-07-11T08:11:51Z</dcterms:created>
  <dcterms:modified xsi:type="dcterms:W3CDTF">2026-07-11T09:52:21Z</dcterms:modified>
</cp:coreProperties>
</file>