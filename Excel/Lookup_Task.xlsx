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727ad24c82bbf5c/Desktop/"/>
    </mc:Choice>
  </mc:AlternateContent>
  <xr:revisionPtr revIDLastSave="7" documentId="11_98196278784EAA40D7076A57C6033BFBBBAB7136" xr6:coauthVersionLast="47" xr6:coauthVersionMax="47" xr10:uidLastSave="{23CCE263-ECE6-4E8C-9550-D34544B30846}"/>
  <bookViews>
    <workbookView xWindow="-108" yWindow="-108" windowWidth="23256" windowHeight="13896" activeTab="2" xr2:uid="{00000000-000D-0000-FFFF-FFFF00000000}"/>
  </bookViews>
  <sheets>
    <sheet name="Employee_Data" sheetId="1" r:id="rId1"/>
    <sheet name="Department_Bonus" sheetId="2" r:id="rId2"/>
    <sheet name="Search_Inp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21" i="3"/>
  <c r="D20" i="3"/>
  <c r="D19" i="3"/>
  <c r="D18" i="3"/>
  <c r="D17" i="3"/>
  <c r="D16" i="3"/>
  <c r="D14" i="3"/>
  <c r="D13" i="3"/>
  <c r="D12" i="3"/>
  <c r="D11" i="3"/>
  <c r="D10" i="3"/>
  <c r="D9" i="3"/>
  <c r="D8" i="3"/>
  <c r="D7" i="3"/>
</calcChain>
</file>

<file path=xl/sharedStrings.xml><?xml version="1.0" encoding="utf-8"?>
<sst xmlns="http://schemas.openxmlformats.org/spreadsheetml/2006/main" count="86" uniqueCount="59">
  <si>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</si>
  <si>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</si>
  <si>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</si>
  <si>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</si>
  <si>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</si>
  <si>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</si>
  <si>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</si>
  <si>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</si>
  <si>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</si>
  <si>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</si>
  <si>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</si>
  <si>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</si>
  <si>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</si>
  <si>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</si>
  <si>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</si>
  <si>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</si>
  <si>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</si>
  <si>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</si>
  <si>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</si>
  <si>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</si>
  <si>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</si>
  <si>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</si>
  <si>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</si>
  <si>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</si>
  <si>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</si>
  <si>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</si>
  <si>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</si>
  <si>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</si>
  <si>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</si>
  <si>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</si>
  <si>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</si>
  <si>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</si>
  <si>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</si>
  <si>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</si>
  <si>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--- SEARCH INPUTS ---</t>
  </si>
  <si>
    <t>E999</t>
  </si>
  <si>
    <t>Invalid Dept</t>
  </si>
  <si>
    <t>Task No.</t>
  </si>
  <si>
    <t>Category</t>
  </si>
  <si>
    <t>Description</t>
  </si>
  <si>
    <t>Result</t>
  </si>
  <si>
    <t>VLOOKUP</t>
  </si>
  <si>
    <t>Name of employee using EmployeeID (Search_Input!A3)</t>
  </si>
  <si>
    <t>Department of employee with ID E103</t>
  </si>
  <si>
    <t>Salary of employee Neha Singh</t>
  </si>
  <si>
    <t>Location of employee E107</t>
  </si>
  <si>
    <t>If EmployeeID not found, display 'Not Found' (Test E999)</t>
  </si>
  <si>
    <t>JoiningYear of employee E101</t>
  </si>
  <si>
    <t>HLOOKUP</t>
  </si>
  <si>
    <t>Bonus % for IT department</t>
  </si>
  <si>
    <t>Bonus % for Finance department</t>
  </si>
  <si>
    <t>Bonus Amount for employee E104</t>
  </si>
  <si>
    <t>If department invalid, display 'No Bonus Data'</t>
  </si>
  <si>
    <t>XLOOKUP</t>
  </si>
  <si>
    <t>Salary using EmployeeID (Search_Input!A3)</t>
  </si>
  <si>
    <t>Department using Employee Name (Search_Input!B3)</t>
  </si>
  <si>
    <t>Fetch Location of employee Rohit Verma</t>
  </si>
  <si>
    <t>If EmployeeID = E999, return 'Employee Not Found'</t>
  </si>
  <si>
    <t>Bonus % using XLOOKUP (horizontal lookup for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</si>
</sst>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953735"/>
        <bgColor rgb="FF953735"/>
      </patternFill>
    </fill>
    <fill>
      <patternFill patternType="solid">
        <fgColor rgb="FF31859C"/>
        <bgColor rgb="FF3185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C33" sqref="C33"/>
    </sheetView>
  </sheetViews>
  <sheetFormatPr defaultRowHeight="14.4" x14ac:dyDescent="0.3"/>
  <cols>
    <col min="1" max="1" width="13" customWidth="1"/>
    <col min="2" max="2" width="15" customWidth="1"/>
    <col min="3" max="3" width="13" customWidth="1"/>
    <col min="4" max="4" width="12" customWidth="1"/>
    <col min="5" max="5" width="9" customWidth="1"/>
    <col min="6" max="6" width="1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3">
        <v>45000</v>
      </c>
      <c r="F2" s="4">
        <v>2019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3">
        <v>52000</v>
      </c>
      <c r="F3" s="4">
        <v>2018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17</v>
      </c>
      <c r="E4" s="3">
        <v>65000</v>
      </c>
      <c r="F4" s="4">
        <v>2020</v>
      </c>
    </row>
    <row r="5" spans="1:6" x14ac:dyDescent="0.3">
      <c r="A5" s="2" t="s">
        <v>18</v>
      </c>
      <c r="B5" s="2" t="s">
        <v>19</v>
      </c>
      <c r="C5" s="2" t="s">
        <v>20</v>
      </c>
      <c r="D5" s="2" t="s">
        <v>21</v>
      </c>
      <c r="E5" s="3">
        <v>58000</v>
      </c>
      <c r="F5" s="4">
        <v>2017</v>
      </c>
    </row>
    <row r="6" spans="1:6" x14ac:dyDescent="0.3">
      <c r="A6" s="2" t="s">
        <v>22</v>
      </c>
      <c r="B6" s="2" t="s">
        <v>23</v>
      </c>
      <c r="C6" s="2" t="s">
        <v>24</v>
      </c>
      <c r="D6" s="2" t="s">
        <v>9</v>
      </c>
      <c r="E6" s="3">
        <v>48000</v>
      </c>
      <c r="F6" s="4">
        <v>2021</v>
      </c>
    </row>
    <row r="7" spans="1:6" x14ac:dyDescent="0.3">
      <c r="A7" s="2" t="s">
        <v>25</v>
      </c>
      <c r="B7" s="2" t="s">
        <v>26</v>
      </c>
      <c r="C7" s="2" t="s">
        <v>16</v>
      </c>
      <c r="D7" s="2" t="s">
        <v>27</v>
      </c>
      <c r="E7" s="3">
        <v>62000</v>
      </c>
      <c r="F7" s="4">
        <v>2019</v>
      </c>
    </row>
    <row r="8" spans="1:6" x14ac:dyDescent="0.3">
      <c r="A8" s="2" t="s">
        <v>28</v>
      </c>
      <c r="B8" s="2" t="s">
        <v>29</v>
      </c>
      <c r="C8" s="2" t="s">
        <v>8</v>
      </c>
      <c r="D8" s="2" t="s">
        <v>30</v>
      </c>
      <c r="E8" s="3">
        <v>47000</v>
      </c>
      <c r="F8" s="4">
        <v>2020</v>
      </c>
    </row>
    <row r="9" spans="1:6" x14ac:dyDescent="0.3">
      <c r="A9" s="2" t="s">
        <v>31</v>
      </c>
      <c r="B9" s="2" t="s">
        <v>32</v>
      </c>
      <c r="C9" s="2" t="s">
        <v>12</v>
      </c>
      <c r="D9" s="2" t="s">
        <v>17</v>
      </c>
      <c r="E9" s="3">
        <v>54000</v>
      </c>
      <c r="F9" s="4">
        <v>2016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4" x14ac:dyDescent="0.3"/>
  <cols>
    <col min="1" max="1" width="13" customWidth="1"/>
    <col min="2" max="2" width="8" customWidth="1"/>
    <col min="3" max="4" width="7" customWidth="1"/>
    <col min="5" max="5" width="10" customWidth="1"/>
    <col min="6" max="6" width="12" customWidth="1"/>
  </cols>
  <sheetData>
    <row r="1" spans="1:6" x14ac:dyDescent="0.3">
      <c r="A1" s="5" t="s">
        <v>2</v>
      </c>
      <c r="B1" s="5" t="s">
        <v>8</v>
      </c>
      <c r="C1" s="5" t="s">
        <v>12</v>
      </c>
      <c r="D1" s="5" t="s">
        <v>16</v>
      </c>
      <c r="E1" s="5" t="s">
        <v>20</v>
      </c>
      <c r="F1" s="5" t="s">
        <v>24</v>
      </c>
    </row>
    <row r="2" spans="1:6" x14ac:dyDescent="0.3">
      <c r="A2" s="6" t="s">
        <v>33</v>
      </c>
      <c r="B2" s="7">
        <v>0.1</v>
      </c>
      <c r="C2" s="7">
        <v>0.08</v>
      </c>
      <c r="D2" s="7">
        <v>0.12</v>
      </c>
      <c r="E2" s="7">
        <v>0.15</v>
      </c>
      <c r="F2" s="7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tabSelected="1" workbookViewId="0">
      <selection activeCell="H6" sqref="H6"/>
    </sheetView>
  </sheetViews>
  <sheetFormatPr defaultRowHeight="14.4" x14ac:dyDescent="0.3"/>
  <cols>
    <col min="1" max="1" width="11" customWidth="1"/>
    <col min="2" max="2" width="15" customWidth="1"/>
    <col min="3" max="3" width="50" customWidth="1"/>
    <col min="4" max="4" width="25" customWidth="1"/>
  </cols>
  <sheetData>
    <row r="1" spans="1:4" x14ac:dyDescent="0.3">
      <c r="A1" s="8" t="s">
        <v>34</v>
      </c>
    </row>
    <row r="2" spans="1:4" x14ac:dyDescent="0.3">
      <c r="A2" s="9" t="s">
        <v>0</v>
      </c>
      <c r="B2" s="9" t="s">
        <v>1</v>
      </c>
    </row>
    <row r="3" spans="1:4" x14ac:dyDescent="0.3">
      <c r="A3" s="4" t="s">
        <v>22</v>
      </c>
      <c r="B3" s="4" t="s">
        <v>23</v>
      </c>
    </row>
    <row r="4" spans="1:4" x14ac:dyDescent="0.3">
      <c r="A4" s="4" t="s">
        <v>35</v>
      </c>
      <c r="B4" s="4" t="s">
        <v>36</v>
      </c>
    </row>
    <row r="6" spans="1:4" x14ac:dyDescent="0.3">
      <c r="A6" s="10" t="s">
        <v>37</v>
      </c>
      <c r="B6" s="10" t="s">
        <v>38</v>
      </c>
      <c r="C6" s="10" t="s">
        <v>39</v>
      </c>
      <c r="D6" s="10" t="s">
        <v>40</v>
      </c>
    </row>
    <row r="7" spans="1:4" x14ac:dyDescent="0.3">
      <c r="A7" s="11">
        <v>1</v>
      </c>
      <c r="B7" s="11" t="s">
        <v>41</v>
      </c>
      <c r="C7" s="11" t="s">
        <v>42</v>
      </c>
      <c r="D7" s="11" t="str">
        <f>VLOOKUP(A3, Employee_Data!A2:F9, 2, FALSE)</f>
        <v>Aman Kumar</v>
      </c>
    </row>
    <row r="8" spans="1:4" x14ac:dyDescent="0.3">
      <c r="A8" s="11">
        <v>2</v>
      </c>
      <c r="B8" s="11" t="s">
        <v>41</v>
      </c>
      <c r="C8" s="11" t="s">
        <v>43</v>
      </c>
      <c r="D8" s="11" t="str">
        <f>VLOOKUP("E103", Employee_Data!A2:F9, 3, FALSE)</f>
        <v>IT</v>
      </c>
    </row>
    <row r="9" spans="1:4" x14ac:dyDescent="0.3">
      <c r="A9" s="11">
        <v>3</v>
      </c>
      <c r="B9" s="11" t="s">
        <v>41</v>
      </c>
      <c r="C9" s="11" t="s">
        <v>44</v>
      </c>
      <c r="D9" s="12">
        <f>VLOOKUP("Neha Singh", Employee_Data!B2:F9, 4, FALSE)</f>
        <v>58000</v>
      </c>
    </row>
    <row r="10" spans="1:4" x14ac:dyDescent="0.3">
      <c r="A10" s="11">
        <v>4</v>
      </c>
      <c r="B10" s="11" t="s">
        <v>41</v>
      </c>
      <c r="C10" s="11" t="s">
        <v>45</v>
      </c>
      <c r="D10" s="11" t="str">
        <f>VLOOKUP("E107", Employee_Data!A2:F9, 4, FALSE)</f>
        <v>Hyderabad</v>
      </c>
    </row>
    <row r="11" spans="1:4" x14ac:dyDescent="0.3">
      <c r="A11" s="11">
        <v>5</v>
      </c>
      <c r="B11" s="11" t="s">
        <v>41</v>
      </c>
      <c r="C11" s="11" t="s">
        <v>46</v>
      </c>
      <c r="D11" s="11" t="str">
        <f>IFERROR(VLOOKUP(A4, Employee_Data!A2:F9, 2, FALSE), "Not Found")</f>
        <v>Not Found</v>
      </c>
    </row>
    <row r="12" spans="1:4" x14ac:dyDescent="0.3">
      <c r="A12" s="11">
        <v>6</v>
      </c>
      <c r="B12" s="11" t="s">
        <v>41</v>
      </c>
      <c r="C12" s="11" t="s">
        <v>47</v>
      </c>
      <c r="D12" s="11">
        <f>VLOOKUP("E101", Employee_Data!A2:F9, 6, FALSE)</f>
        <v>2019</v>
      </c>
    </row>
    <row r="13" spans="1:4" x14ac:dyDescent="0.3">
      <c r="A13" s="11">
        <v>7</v>
      </c>
      <c r="B13" s="11" t="s">
        <v>48</v>
      </c>
      <c r="C13" s="11" t="s">
        <v>49</v>
      </c>
      <c r="D13" s="13">
        <f>HLOOKUP("IT", Department_Bonus!A1:F2, 2, FALSE)</f>
        <v>0.12</v>
      </c>
    </row>
    <row r="14" spans="1:4" x14ac:dyDescent="0.3">
      <c r="A14" s="11">
        <v>8</v>
      </c>
      <c r="B14" s="11" t="s">
        <v>48</v>
      </c>
      <c r="C14" s="11" t="s">
        <v>50</v>
      </c>
      <c r="D14" s="13">
        <f>HLOOKUP("Finance", Department_Bonus!A1:F2, 2, FALSE)</f>
        <v>0.15</v>
      </c>
    </row>
    <row r="15" spans="1:4" x14ac:dyDescent="0.3">
      <c r="A15" s="11">
        <v>9</v>
      </c>
      <c r="B15" s="11" t="s">
        <v>48</v>
      </c>
      <c r="C15" s="11" t="s">
        <v>51</v>
      </c>
      <c r="D15" s="12">
        <f>VLOOKUP(A3, Employee_Data!A2:F9, 5, FALSE) * HLOOKUP(VLOOKUP("E104", Employee_Data!A2:F9, 3, FALSE), Department_Bonus!A1:F2, 2, FALSE)</f>
        <v>7200</v>
      </c>
    </row>
    <row r="16" spans="1:4" x14ac:dyDescent="0.3">
      <c r="A16" s="11">
        <v>10</v>
      </c>
      <c r="B16" s="11" t="s">
        <v>48</v>
      </c>
      <c r="C16" s="11" t="s">
        <v>52</v>
      </c>
      <c r="D16" s="11" t="str">
        <f>IFERROR(HLOOKUP(B4, Department_Bonus!A1:F2, 2, FALSE), "No Bonus Data")</f>
        <v>No Bonus Data</v>
      </c>
    </row>
    <row r="17" spans="1:4" x14ac:dyDescent="0.3">
      <c r="A17" s="11">
        <v>11</v>
      </c>
      <c r="B17" s="11" t="s">
        <v>53</v>
      </c>
      <c r="C17" s="11" t="s">
        <v>54</v>
      </c>
      <c r="D17" s="12">
        <f>_xlfn.XLOOKUP(A3, Employee_Data!A2:A9, Employee_Data!E2:E9)</f>
        <v>48000</v>
      </c>
    </row>
    <row r="18" spans="1:4" x14ac:dyDescent="0.3">
      <c r="A18" s="11">
        <v>12</v>
      </c>
      <c r="B18" s="11" t="s">
        <v>53</v>
      </c>
      <c r="C18" s="11" t="s">
        <v>55</v>
      </c>
      <c r="D18" s="11" t="str">
        <f>_xlfn.XLOOKUP(B3, Employee_Data!B2:B9, Employee_Data!C2:C9)</f>
        <v>Marketing</v>
      </c>
    </row>
    <row r="19" spans="1:4" x14ac:dyDescent="0.3">
      <c r="A19" s="11">
        <v>13</v>
      </c>
      <c r="B19" s="11" t="s">
        <v>53</v>
      </c>
      <c r="C19" s="11" t="s">
        <v>56</v>
      </c>
      <c r="D19" s="11" t="str">
        <f>_xlfn.XLOOKUP("Rohit Verma", Employee_Data!B2:B9, Employee_Data!D2:D9)</f>
        <v>Bangalore</v>
      </c>
    </row>
    <row r="20" spans="1:4" x14ac:dyDescent="0.3">
      <c r="A20" s="11">
        <v>14</v>
      </c>
      <c r="B20" s="11" t="s">
        <v>53</v>
      </c>
      <c r="C20" s="11" t="s">
        <v>57</v>
      </c>
      <c r="D20" s="11" t="str">
        <f>_xlfn.XLOOKUP("E999", Employee_Data!A2:A9, Employee_Data!B2:B9, "Employee Not Found")</f>
        <v>Employee Not Found</v>
      </c>
    </row>
    <row r="21" spans="1:4" x14ac:dyDescent="0.3">
      <c r="A21" s="11">
        <v>15</v>
      </c>
      <c r="B21" s="11" t="s">
        <v>53</v>
      </c>
      <c r="C21" s="11" t="s">
        <v>58</v>
      </c>
      <c r="D21" s="13">
        <f>_xlfn.XLOOKUP("IT", Department_Bonus!B1:F1, Department_Bonus!B2:F2)</f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Employee_Data</vt:lpstr>
      <vt:lpstr>Department_Bonus</vt:lpstr>
      <vt:lpstr>Search_Input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vanra</cp:lastModifiedBy>
  <dcterms:created xsi:type="dcterms:W3CDTF">2026-07-17T04:50:31Z</dcterms:created>
  <dcterms:modified xsi:type="dcterms:W3CDTF">2026-07-17T05:07:27Z</dcterms:modified>
</cp:coreProperties>
</file>